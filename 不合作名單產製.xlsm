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60" windowWidth="15345" windowHeight="6645" activeTab="2"/>
  </bookViews>
  <sheets>
    <sheet name="當月交易" sheetId="4" r:id="rId1"/>
    <sheet name="歷史交易" sheetId="5" r:id="rId2"/>
    <sheet name="Main Page" sheetId="37" r:id="rId3"/>
    <sheet name="Tempo" sheetId="59" r:id="rId4"/>
    <sheet name="201712" sheetId="58" r:id="rId5"/>
  </sheets>
  <definedNames>
    <definedName name="_xlnm._FilterDatabase" localSheetId="0" hidden="1">當月交易!$A$1:$J$8</definedName>
  </definedNames>
  <calcPr calcId="145621"/>
</workbook>
</file>

<file path=xl/sharedStrings.xml><?xml version="1.0" encoding="utf-8"?>
<sst xmlns="http://schemas.openxmlformats.org/spreadsheetml/2006/main" count="283" uniqueCount="41">
  <si>
    <t>S.No</t>
  </si>
  <si>
    <t>Txn Amount</t>
  </si>
  <si>
    <t>Currency</t>
  </si>
  <si>
    <t xml:space="preserve">1st follow up sent on </t>
  </si>
  <si>
    <t xml:space="preserve">2nd follow up sent on </t>
  </si>
  <si>
    <t>SWIFT Code</t>
    <phoneticPr fontId="20" type="noConversion"/>
  </si>
  <si>
    <t>Request for Information (RFI) status</t>
    <phoneticPr fontId="20" type="noConversion"/>
  </si>
  <si>
    <t>Transaction Number</t>
    <phoneticPr fontId="20" type="noConversion"/>
  </si>
  <si>
    <t>Value Date</t>
    <phoneticPr fontId="20" type="noConversion"/>
  </si>
  <si>
    <t>SR VII Report (Y/N)</t>
    <phoneticPr fontId="20" type="noConversion"/>
  </si>
  <si>
    <t>12-1</t>
    <phoneticPr fontId="20" type="noConversion"/>
  </si>
  <si>
    <t>USD</t>
    <phoneticPr fontId="20" type="noConversion"/>
  </si>
  <si>
    <t xml:space="preserve">Information received – closed </t>
  </si>
  <si>
    <t>7AIAGIR03333186</t>
    <phoneticPr fontId="20" type="noConversion"/>
  </si>
  <si>
    <t>Y</t>
  </si>
  <si>
    <t>7AIAGIR03336197</t>
    <phoneticPr fontId="20" type="noConversion"/>
  </si>
  <si>
    <t>7HOBUIT11504798</t>
    <phoneticPr fontId="20" type="noConversion"/>
  </si>
  <si>
    <t>7AIAHIR11843291</t>
    <phoneticPr fontId="20" type="noConversion"/>
  </si>
  <si>
    <t>7AIAZIR03243563</t>
    <phoneticPr fontId="20" type="noConversion"/>
  </si>
  <si>
    <t>8AIAWIR04300002</t>
    <phoneticPr fontId="20" type="noConversion"/>
  </si>
  <si>
    <t>8AIAEIR05000116</t>
    <phoneticPr fontId="20" type="noConversion"/>
  </si>
  <si>
    <t>12-2</t>
    <phoneticPr fontId="20" type="noConversion"/>
  </si>
  <si>
    <t>12-3</t>
    <phoneticPr fontId="20" type="noConversion"/>
  </si>
  <si>
    <t>12-4</t>
    <phoneticPr fontId="20" type="noConversion"/>
  </si>
  <si>
    <t>12-5</t>
    <phoneticPr fontId="20" type="noConversion"/>
  </si>
  <si>
    <t>12-6</t>
    <phoneticPr fontId="20" type="noConversion"/>
  </si>
  <si>
    <t>12-7</t>
    <phoneticPr fontId="20" type="noConversion"/>
  </si>
  <si>
    <t>SCBLGB2L</t>
  </si>
  <si>
    <t>CSPBSGSG</t>
  </si>
  <si>
    <t>CMCIFRPA</t>
    <phoneticPr fontId="20" type="noConversion"/>
  </si>
  <si>
    <t>IRVTUS3N</t>
  </si>
  <si>
    <t>BOFAUS3N</t>
  </si>
  <si>
    <t>No response after 2 reminders – closed</t>
  </si>
  <si>
    <t>7AIAHIR11843290</t>
    <phoneticPr fontId="20" type="noConversion"/>
  </si>
  <si>
    <t>7AIAHIR11843299</t>
    <phoneticPr fontId="20" type="noConversion"/>
  </si>
  <si>
    <t>Reverse Txn(Y/N)</t>
    <phoneticPr fontId="20" type="noConversion"/>
  </si>
  <si>
    <t>N</t>
    <phoneticPr fontId="20" type="noConversion"/>
  </si>
  <si>
    <t>不合作銀行SWIFT CODE</t>
  </si>
  <si>
    <t>累計點數</t>
  </si>
  <si>
    <t>進入黑名單時間</t>
  </si>
  <si>
    <t>CMCIFRPA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</si>
</sst>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_-;\-* #,##0.00_-;_-* &quot;-&quot;??_-;_-@_-"/>
    <numFmt numFmtId="176" formatCode="[$-409]d\-mmm\-yy;@"/>
    <numFmt numFmtId="177" formatCode="[$-409]d\-mmm\-yyyy;@"/>
    <numFmt numFmtId="178" formatCode="m/d;@"/>
  </numFmts>
  <fonts count="26" x14ac:knownFonts="1">
    <font>
      <sz val="11"/>
      <color theme="1"/>
      <name val="微軟正黑體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9"/>
      <name val="微軟正黑體"/>
      <family val="3"/>
      <charset val="136"/>
      <scheme val="minor"/>
    </font>
    <font>
      <sz val="9"/>
      <name val="Calibri"/>
      <family val="2"/>
    </font>
    <font>
      <sz val="10"/>
      <name val="Calibri"/>
      <family val="2"/>
    </font>
    <font>
      <b/>
      <sz val="9"/>
      <color theme="0"/>
      <name val="Calibri"/>
      <family val="2"/>
    </font>
    <font>
      <sz val="9"/>
      <name val="Verdana"/>
      <family val="2"/>
    </font>
    <font>
      <sz val="9"/>
      <name val="Arial"/>
      <family val="2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50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43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2" fillId="0" borderId="0" applyNumberFormat="0" applyFill="0" applyBorder="0" applyAlignment="0" applyProtection="0"/>
    <xf numFmtId="0" fontId="2" fillId="23" borderId="7" applyNumberFormat="0" applyFont="0" applyAlignment="0" applyProtection="0"/>
    <xf numFmtId="0" fontId="16" fillId="20" borderId="8" applyNumberFormat="0" applyAlignment="0" applyProtection="0"/>
    <xf numFmtId="0" fontId="2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9" applyNumberFormat="0" applyFill="0" applyAlignment="0" applyProtection="0"/>
    <xf numFmtId="0" fontId="19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42">
    <xf numFmtId="0" fontId="0" fillId="0" borderId="0" xfId="0"/>
    <xf numFmtId="0" fontId="22" fillId="24" borderId="11" xfId="49" applyFont="1" applyFill="1" applyBorder="1" applyAlignment="1" applyProtection="1"/>
    <xf numFmtId="177" fontId="21" fillId="24" borderId="11" xfId="49" applyNumberFormat="1" applyFont="1" applyFill="1" applyBorder="1" applyAlignment="1" applyProtection="1">
      <alignment horizontal="left"/>
    </xf>
    <xf numFmtId="4" fontId="21" fillId="24" borderId="11" xfId="49" applyNumberFormat="1" applyFont="1" applyFill="1" applyBorder="1" applyAlignment="1" applyProtection="1"/>
    <xf numFmtId="0" fontId="21" fillId="24" borderId="11" xfId="46" applyFont="1" applyFill="1" applyBorder="1" applyAlignment="1" applyProtection="1">
      <alignment horizontal="center"/>
    </xf>
    <xf numFmtId="0" fontId="21" fillId="24" borderId="10" xfId="46" applyFont="1" applyFill="1" applyBorder="1" applyAlignment="1" applyProtection="1">
      <alignment horizontal="left" wrapText="1"/>
    </xf>
    <xf numFmtId="178" fontId="21" fillId="24" borderId="11" xfId="48" applyNumberFormat="1" applyFont="1" applyFill="1" applyBorder="1" applyAlignment="1" applyProtection="1">
      <alignment horizontal="center"/>
    </xf>
    <xf numFmtId="0" fontId="21" fillId="24" borderId="11" xfId="48" applyFont="1" applyFill="1" applyBorder="1" applyAlignment="1" applyProtection="1"/>
    <xf numFmtId="49" fontId="21" fillId="24" borderId="11" xfId="48" applyNumberFormat="1" applyFont="1" applyFill="1" applyBorder="1" applyAlignment="1" applyProtection="1">
      <alignment horizontal="center"/>
    </xf>
    <xf numFmtId="49" fontId="21" fillId="24" borderId="10" xfId="48" applyNumberFormat="1" applyFont="1" applyFill="1" applyBorder="1" applyAlignment="1" applyProtection="1">
      <alignment horizontal="center"/>
    </xf>
    <xf numFmtId="178" fontId="21" fillId="24" borderId="11" xfId="48" applyNumberFormat="1" applyFont="1" applyFill="1" applyBorder="1" applyAlignment="1" applyProtection="1">
      <alignment horizontal="center" vertical="center"/>
    </xf>
    <xf numFmtId="178" fontId="21" fillId="24" borderId="11" xfId="48" applyNumberFormat="1" applyFont="1" applyFill="1" applyBorder="1" applyAlignment="1" applyProtection="1">
      <alignment horizontal="center" wrapText="1"/>
    </xf>
    <xf numFmtId="176" fontId="21" fillId="24" borderId="0" xfId="48" applyNumberFormat="1" applyFont="1" applyFill="1" applyBorder="1" applyAlignment="1" applyProtection="1"/>
    <xf numFmtId="0" fontId="21" fillId="24" borderId="0" xfId="48" applyFont="1" applyFill="1" applyBorder="1" applyAlignment="1" applyProtection="1"/>
    <xf numFmtId="0" fontId="21" fillId="24" borderId="0" xfId="48" applyFont="1" applyFill="1" applyBorder="1" applyAlignment="1" applyProtection="1">
      <alignment horizontal="center"/>
    </xf>
    <xf numFmtId="178" fontId="21" fillId="24" borderId="0" xfId="48" applyNumberFormat="1" applyFont="1" applyFill="1" applyBorder="1" applyAlignment="1" applyProtection="1"/>
    <xf numFmtId="0" fontId="21" fillId="24" borderId="0" xfId="49" applyFont="1" applyFill="1" applyBorder="1" applyAlignment="1" applyProtection="1">
      <alignment vertical="center"/>
    </xf>
    <xf numFmtId="0" fontId="21" fillId="24" borderId="11" xfId="49" applyFont="1" applyFill="1" applyBorder="1" applyAlignment="1" applyProtection="1">
      <alignment horizontal="center"/>
    </xf>
    <xf numFmtId="0" fontId="23" fillId="25" borderId="11" xfId="39" applyFont="1" applyFill="1" applyBorder="1" applyAlignment="1" applyProtection="1">
      <alignment horizontal="center" vertical="center" wrapText="1"/>
    </xf>
    <xf numFmtId="176" fontId="23" fillId="25" borderId="11" xfId="39" applyNumberFormat="1" applyFont="1" applyFill="1" applyBorder="1" applyAlignment="1" applyProtection="1">
      <alignment horizontal="center" vertical="center" wrapText="1"/>
    </xf>
    <xf numFmtId="4" fontId="23" fillId="25" borderId="11" xfId="39" applyNumberFormat="1" applyFont="1" applyFill="1" applyBorder="1" applyAlignment="1" applyProtection="1">
      <alignment horizontal="center" vertical="center" wrapText="1"/>
    </xf>
    <xf numFmtId="178" fontId="23" fillId="25" borderId="11" xfId="39" applyNumberFormat="1" applyFont="1" applyFill="1" applyBorder="1" applyAlignment="1" applyProtection="1">
      <alignment horizontal="center" vertical="center" wrapText="1"/>
    </xf>
    <xf numFmtId="0" fontId="23" fillId="25" borderId="11" xfId="47" applyFont="1" applyFill="1" applyBorder="1" applyAlignment="1" applyProtection="1">
      <alignment horizontal="center" vertical="center" wrapText="1"/>
    </xf>
    <xf numFmtId="0" fontId="23" fillId="25" borderId="11" xfId="49" applyFont="1" applyFill="1" applyBorder="1" applyAlignment="1" applyProtection="1">
      <alignment horizontal="center" vertical="center"/>
    </xf>
    <xf numFmtId="0" fontId="21" fillId="24" borderId="13" xfId="48" applyFont="1" applyFill="1" applyBorder="1" applyAlignment="1" applyProtection="1">
      <alignment horizontal="center"/>
    </xf>
    <xf numFmtId="177" fontId="24" fillId="0" borderId="11" xfId="49" applyNumberFormat="1" applyFont="1" applyFill="1" applyBorder="1" applyAlignment="1" applyProtection="1">
      <alignment horizontal="left"/>
    </xf>
    <xf numFmtId="49" fontId="24" fillId="0" borderId="10" xfId="48" applyNumberFormat="1" applyFont="1" applyFill="1" applyBorder="1" applyAlignment="1" applyProtection="1">
      <alignment horizontal="center" wrapText="1"/>
    </xf>
    <xf numFmtId="4" fontId="24" fillId="0" borderId="11" xfId="49" applyNumberFormat="1" applyFont="1" applyFill="1" applyBorder="1" applyAlignment="1" applyProtection="1"/>
    <xf numFmtId="0" fontId="24" fillId="0" borderId="11" xfId="46" applyFont="1" applyFill="1" applyBorder="1" applyAlignment="1" applyProtection="1">
      <alignment horizontal="center"/>
    </xf>
    <xf numFmtId="0" fontId="24" fillId="0" borderId="11" xfId="49" applyFont="1" applyFill="1" applyBorder="1" applyAlignment="1" applyProtection="1">
      <alignment horizontal="left"/>
    </xf>
    <xf numFmtId="178" fontId="24" fillId="0" borderId="11" xfId="48" applyNumberFormat="1" applyFont="1" applyFill="1" applyBorder="1" applyAlignment="1" applyProtection="1">
      <alignment horizontal="center"/>
    </xf>
    <xf numFmtId="0" fontId="24" fillId="0" borderId="11" xfId="48" applyFont="1" applyFill="1" applyBorder="1" applyAlignment="1" applyProtection="1"/>
    <xf numFmtId="178" fontId="24" fillId="26" borderId="11" xfId="48" applyNumberFormat="1" applyFont="1" applyFill="1" applyBorder="1" applyAlignment="1" applyProtection="1">
      <alignment horizontal="center"/>
    </xf>
    <xf numFmtId="0" fontId="24" fillId="26" borderId="11" xfId="48" applyFont="1" applyFill="1" applyBorder="1" applyAlignment="1" applyProtection="1"/>
    <xf numFmtId="49" fontId="24" fillId="0" borderId="11" xfId="48" applyNumberFormat="1" applyFont="1" applyFill="1" applyBorder="1" applyAlignment="1" applyProtection="1">
      <alignment horizontal="center"/>
    </xf>
    <xf numFmtId="4" fontId="25" fillId="0" borderId="11" xfId="29" applyNumberFormat="1" applyFont="1" applyFill="1" applyBorder="1" applyAlignment="1" applyProtection="1"/>
    <xf numFmtId="49" fontId="24" fillId="0" borderId="10" xfId="48" applyNumberFormat="1" applyFont="1" applyFill="1" applyBorder="1" applyAlignment="1" applyProtection="1">
      <alignment horizontal="center"/>
    </xf>
    <xf numFmtId="49" fontId="24" fillId="26" borderId="10" xfId="48" applyNumberFormat="1" applyFont="1" applyFill="1" applyBorder="1" applyAlignment="1" applyProtection="1">
      <alignment horizontal="center"/>
    </xf>
    <xf numFmtId="177" fontId="24" fillId="26" borderId="11" xfId="49" applyNumberFormat="1" applyFont="1" applyFill="1" applyBorder="1" applyAlignment="1" applyProtection="1">
      <alignment horizontal="left"/>
    </xf>
    <xf numFmtId="4" fontId="25" fillId="26" borderId="11" xfId="29" applyNumberFormat="1" applyFont="1" applyFill="1" applyBorder="1" applyAlignment="1" applyProtection="1"/>
    <xf numFmtId="4" fontId="25" fillId="0" borderId="12" xfId="29" applyNumberFormat="1" applyFont="1" applyFill="1" applyBorder="1" applyAlignment="1" applyProtection="1"/>
    <xf numFmtId="14" fontId="0" fillId="0" borderId="0" xfId="0" applyNumberFormat="1"/>
  </cellXfs>
  <cellStyles count="50">
    <cellStyle name="20% - 輔色1 2" xfId="2"/>
    <cellStyle name="20% - 輔色2 2" xfId="3"/>
    <cellStyle name="20% - 輔色3 2" xfId="4"/>
    <cellStyle name="20% - 輔色4 2" xfId="5"/>
    <cellStyle name="20% - 輔色5 2" xfId="6"/>
    <cellStyle name="20% - 輔色6 2" xfId="7"/>
    <cellStyle name="40% - 輔色1 2" xfId="8"/>
    <cellStyle name="40% - 輔色2 2" xfId="9"/>
    <cellStyle name="40% - 輔色3 2" xfId="10"/>
    <cellStyle name="40% - 輔色4 2" xfId="11"/>
    <cellStyle name="40% - 輔色5 2" xfId="12"/>
    <cellStyle name="40% - 輔色6 2" xfId="13"/>
    <cellStyle name="60% - 輔色1 2" xfId="14"/>
    <cellStyle name="60% - 輔色2 2" xfId="15"/>
    <cellStyle name="60% - 輔色3 2" xfId="16"/>
    <cellStyle name="60% - 輔色4 2" xfId="17"/>
    <cellStyle name="60% - 輔色5 2" xfId="18"/>
    <cellStyle name="60% - 輔色6 2" xfId="19"/>
    <cellStyle name="Normal" xfId="0" builtinId="0"/>
    <cellStyle name="Normal_Sheet1" xfId="39"/>
    <cellStyle name="Normal_Sheet1_SRVII template_2013  SRVII Tempate" xfId="47"/>
    <cellStyle name="Style 1" xfId="42"/>
    <cellStyle name="一般 2" xfId="1"/>
    <cellStyle name="一般 3" xfId="49"/>
    <cellStyle name="一般_2012  SRVII Template" xfId="48"/>
    <cellStyle name="一般_2012  SRVII Template_2013  SRVII Tempate" xfId="46"/>
    <cellStyle name="千分位 2" xfId="29"/>
    <cellStyle name="中等 2" xfId="38"/>
    <cellStyle name="合計 2" xfId="44"/>
    <cellStyle name="好 2" xfId="31"/>
    <cellStyle name="計算方式 2" xfId="27"/>
    <cellStyle name="連結的儲存格 2" xfId="37"/>
    <cellStyle name="備註 2" xfId="40"/>
    <cellStyle name="說明文字 2" xfId="30"/>
    <cellStyle name="輔色1 2" xfId="20"/>
    <cellStyle name="輔色2 2" xfId="21"/>
    <cellStyle name="輔色3 2" xfId="22"/>
    <cellStyle name="輔色4 2" xfId="23"/>
    <cellStyle name="輔色5 2" xfId="24"/>
    <cellStyle name="輔色6 2" xfId="25"/>
    <cellStyle name="標題 1 2" xfId="32"/>
    <cellStyle name="標題 2 2" xfId="33"/>
    <cellStyle name="標題 3 2" xfId="34"/>
    <cellStyle name="標題 4 2" xfId="35"/>
    <cellStyle name="標題 5" xfId="43"/>
    <cellStyle name="輸入 2" xfId="36"/>
    <cellStyle name="輸出 2" xfId="41"/>
    <cellStyle name="檢查儲存格 2" xfId="28"/>
    <cellStyle name="壞 2" xfId="26"/>
    <cellStyle name="警告文字 2" xfId="45"/>
  </cellStyles>
  <dxfs count="41"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9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heme1">
  <a:themeElements>
    <a:clrScheme name="Standard Chartered Template">
      <a:dk1>
        <a:srgbClr val="005C84"/>
      </a:dk1>
      <a:lt1>
        <a:sysClr val="window" lastClr="FFFFFF"/>
      </a:lt1>
      <a:dk2>
        <a:srgbClr val="000F46"/>
      </a:dk2>
      <a:lt2>
        <a:srgbClr val="E6E7E8"/>
      </a:lt2>
      <a:accent1>
        <a:srgbClr val="0075B0"/>
      </a:accent1>
      <a:accent2>
        <a:srgbClr val="009FDA"/>
      </a:accent2>
      <a:accent3>
        <a:srgbClr val="3F9C35"/>
      </a:accent3>
      <a:accent4>
        <a:srgbClr val="69BE28"/>
      </a:accent4>
      <a:accent5>
        <a:srgbClr val="6D6E71"/>
      </a:accent5>
      <a:accent6>
        <a:srgbClr val="939598"/>
      </a:accent6>
      <a:hlink>
        <a:srgbClr val="6D6E71"/>
      </a:hlink>
      <a:folHlink>
        <a:srgbClr val="2890C0"/>
      </a:folHlink>
    </a:clrScheme>
    <a:fontScheme name="Arial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StandardChartered_GlobalTemplate" id="{8AA814C4-A578-42A8-85A9-298523698715}" vid="{F837474E-8CD5-4CDA-B6A2-5B081F46A0D7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6"/>
  <sheetViews>
    <sheetView workbookViewId="0">
      <selection activeCell="K1" sqref="K1"/>
    </sheetView>
  </sheetViews>
  <sheetFormatPr defaultRowHeight="12" x14ac:dyDescent="0.2"/>
  <cols>
    <col min="1" max="1" width="6.6640625" style="13" bestFit="1" customWidth="1"/>
    <col min="2" max="2" width="15.6640625" style="12" customWidth="1"/>
    <col min="3" max="3" width="9.33203125" style="13" customWidth="1"/>
    <col min="4" max="4" width="6.109375" style="14" bestFit="1" customWidth="1"/>
    <col min="5" max="5" width="8.33203125" style="13" bestFit="1" customWidth="1"/>
    <col min="6" max="6" width="13.33203125" style="14" customWidth="1"/>
    <col min="7" max="7" width="15" style="15" customWidth="1"/>
    <col min="8" max="8" width="24.44140625" style="13" bestFit="1" customWidth="1"/>
    <col min="9" max="9" width="16.88671875" style="13" customWidth="1"/>
    <col min="10" max="11" width="13.5546875" style="14" customWidth="1"/>
    <col min="12" max="16384" width="8.88671875" style="13"/>
  </cols>
  <sheetData>
    <row r="1" spans="1:11" s="16" customFormat="1" x14ac:dyDescent="0.25">
      <c r="A1" s="18" t="s">
        <v>0</v>
      </c>
      <c r="B1" s="19" t="s">
        <v>8</v>
      </c>
      <c r="C1" s="20" t="s">
        <v>1</v>
      </c>
      <c r="D1" s="18" t="s">
        <v>2</v>
      </c>
      <c r="E1" s="18" t="s">
        <v>5</v>
      </c>
      <c r="F1" s="19" t="s">
        <v>3</v>
      </c>
      <c r="G1" s="21" t="s">
        <v>4</v>
      </c>
      <c r="H1" s="18" t="s">
        <v>6</v>
      </c>
      <c r="I1" s="22" t="s">
        <v>7</v>
      </c>
      <c r="J1" s="23" t="s">
        <v>9</v>
      </c>
      <c r="K1" s="23" t="s">
        <v>35</v>
      </c>
    </row>
    <row r="2" spans="1:11" ht="12.75" x14ac:dyDescent="0.2">
      <c r="A2" s="26" t="s">
        <v>10</v>
      </c>
      <c r="B2" s="25">
        <v>43017</v>
      </c>
      <c r="C2" s="27">
        <v>1175</v>
      </c>
      <c r="D2" s="28" t="s">
        <v>11</v>
      </c>
      <c r="E2" s="29" t="s">
        <v>27</v>
      </c>
      <c r="F2" s="30">
        <v>43075</v>
      </c>
      <c r="G2" s="30">
        <v>43082</v>
      </c>
      <c r="H2" s="1" t="s">
        <v>12</v>
      </c>
      <c r="I2" s="31" t="s">
        <v>13</v>
      </c>
      <c r="J2" s="17" t="s">
        <v>14</v>
      </c>
      <c r="K2" s="17" t="s">
        <v>36</v>
      </c>
    </row>
    <row r="3" spans="1:11" ht="12.75" x14ac:dyDescent="0.2">
      <c r="A3" s="34" t="s">
        <v>21</v>
      </c>
      <c r="B3" s="25">
        <v>43011</v>
      </c>
      <c r="C3" s="35">
        <v>2000</v>
      </c>
      <c r="D3" s="28" t="s">
        <v>11</v>
      </c>
      <c r="E3" s="29" t="s">
        <v>27</v>
      </c>
      <c r="F3" s="30">
        <v>43075</v>
      </c>
      <c r="G3" s="30">
        <v>43082</v>
      </c>
      <c r="H3" s="1" t="s">
        <v>12</v>
      </c>
      <c r="I3" s="31" t="s">
        <v>15</v>
      </c>
      <c r="J3" s="17" t="s">
        <v>14</v>
      </c>
      <c r="K3" s="17" t="s">
        <v>36</v>
      </c>
    </row>
    <row r="4" spans="1:11" ht="12.75" x14ac:dyDescent="0.2">
      <c r="A4" s="36" t="s">
        <v>22</v>
      </c>
      <c r="B4" s="25">
        <v>43074</v>
      </c>
      <c r="C4" s="35">
        <v>150000</v>
      </c>
      <c r="D4" s="28" t="s">
        <v>11</v>
      </c>
      <c r="E4" s="29" t="s">
        <v>28</v>
      </c>
      <c r="F4" s="30">
        <v>43076</v>
      </c>
      <c r="G4" s="30"/>
      <c r="H4" s="1" t="s">
        <v>12</v>
      </c>
      <c r="I4" s="31" t="s">
        <v>16</v>
      </c>
      <c r="J4" s="17" t="s">
        <v>14</v>
      </c>
      <c r="K4" s="17" t="s">
        <v>36</v>
      </c>
    </row>
    <row r="5" spans="1:11" ht="12.75" x14ac:dyDescent="0.2">
      <c r="A5" s="37" t="s">
        <v>23</v>
      </c>
      <c r="B5" s="38">
        <v>43084</v>
      </c>
      <c r="C5" s="39">
        <v>3000</v>
      </c>
      <c r="D5" s="28" t="s">
        <v>11</v>
      </c>
      <c r="E5" s="29" t="s">
        <v>29</v>
      </c>
      <c r="F5" s="32">
        <v>43453</v>
      </c>
      <c r="G5" s="32">
        <v>43460</v>
      </c>
      <c r="H5" s="1" t="s">
        <v>32</v>
      </c>
      <c r="I5" s="33" t="s">
        <v>17</v>
      </c>
      <c r="J5" s="17" t="s">
        <v>14</v>
      </c>
      <c r="K5" s="17" t="s">
        <v>36</v>
      </c>
    </row>
    <row r="6" spans="1:11" ht="12.75" x14ac:dyDescent="0.2">
      <c r="A6" s="36" t="s">
        <v>24</v>
      </c>
      <c r="B6" s="25">
        <v>43088</v>
      </c>
      <c r="C6" s="35">
        <v>161.4</v>
      </c>
      <c r="D6" s="28" t="s">
        <v>11</v>
      </c>
      <c r="E6" s="29" t="s">
        <v>30</v>
      </c>
      <c r="F6" s="30">
        <v>43089</v>
      </c>
      <c r="G6" s="30">
        <v>43461</v>
      </c>
      <c r="H6" s="1" t="s">
        <v>12</v>
      </c>
      <c r="I6" s="31" t="s">
        <v>18</v>
      </c>
      <c r="J6" s="17" t="s">
        <v>14</v>
      </c>
      <c r="K6" s="17" t="s">
        <v>36</v>
      </c>
    </row>
    <row r="7" spans="1:11" ht="12.75" x14ac:dyDescent="0.2">
      <c r="A7" s="36" t="s">
        <v>25</v>
      </c>
      <c r="B7" s="25">
        <v>43096</v>
      </c>
      <c r="C7" s="35">
        <v>1719.2</v>
      </c>
      <c r="D7" s="28" t="s">
        <v>11</v>
      </c>
      <c r="E7" s="29" t="s">
        <v>31</v>
      </c>
      <c r="F7" s="30">
        <v>43103</v>
      </c>
      <c r="G7" s="30">
        <v>43109</v>
      </c>
      <c r="H7" s="1" t="s">
        <v>12</v>
      </c>
      <c r="I7" s="31" t="s">
        <v>19</v>
      </c>
      <c r="J7" s="17" t="s">
        <v>14</v>
      </c>
      <c r="K7" s="17" t="s">
        <v>36</v>
      </c>
    </row>
    <row r="8" spans="1:11" ht="12.75" x14ac:dyDescent="0.2">
      <c r="A8" s="36" t="s">
        <v>26</v>
      </c>
      <c r="B8" s="25">
        <v>43098</v>
      </c>
      <c r="C8" s="40">
        <v>4364.5</v>
      </c>
      <c r="D8" s="28" t="s">
        <v>11</v>
      </c>
      <c r="E8" s="29" t="s">
        <v>27</v>
      </c>
      <c r="F8" s="30">
        <v>43103</v>
      </c>
      <c r="G8" s="30"/>
      <c r="H8" s="1" t="s">
        <v>12</v>
      </c>
      <c r="I8" s="31" t="s">
        <v>20</v>
      </c>
      <c r="J8" s="17" t="s">
        <v>14</v>
      </c>
      <c r="K8" s="17" t="s">
        <v>36</v>
      </c>
    </row>
    <row r="9" spans="1:11" ht="12.75" x14ac:dyDescent="0.2">
      <c r="A9" s="26" t="s">
        <v>10</v>
      </c>
      <c r="B9" s="25">
        <v>43017</v>
      </c>
      <c r="C9" s="27">
        <v>1175</v>
      </c>
      <c r="D9" s="28" t="s">
        <v>11</v>
      </c>
      <c r="E9" s="29" t="s">
        <v>27</v>
      </c>
      <c r="F9" s="30">
        <v>43075</v>
      </c>
      <c r="G9" s="30">
        <v>43082</v>
      </c>
      <c r="H9" s="1" t="s">
        <v>12</v>
      </c>
      <c r="I9" s="31" t="s">
        <v>13</v>
      </c>
      <c r="J9" s="17" t="s">
        <v>14</v>
      </c>
      <c r="K9" s="17" t="s">
        <v>36</v>
      </c>
    </row>
    <row r="10" spans="1:11" ht="12.75" x14ac:dyDescent="0.2">
      <c r="A10" s="34" t="s">
        <v>21</v>
      </c>
      <c r="B10" s="25">
        <v>43011</v>
      </c>
      <c r="C10" s="35">
        <v>2000</v>
      </c>
      <c r="D10" s="28" t="s">
        <v>11</v>
      </c>
      <c r="E10" s="29" t="s">
        <v>27</v>
      </c>
      <c r="F10" s="30">
        <v>43075</v>
      </c>
      <c r="G10" s="30">
        <v>43082</v>
      </c>
      <c r="H10" s="1" t="s">
        <v>12</v>
      </c>
      <c r="I10" s="31" t="s">
        <v>15</v>
      </c>
      <c r="J10" s="17" t="s">
        <v>14</v>
      </c>
      <c r="K10" s="17" t="s">
        <v>36</v>
      </c>
    </row>
    <row r="11" spans="1:11" ht="12.75" x14ac:dyDescent="0.2">
      <c r="A11" s="36" t="s">
        <v>22</v>
      </c>
      <c r="B11" s="25">
        <v>43074</v>
      </c>
      <c r="C11" s="35">
        <v>150000</v>
      </c>
      <c r="D11" s="28" t="s">
        <v>11</v>
      </c>
      <c r="E11" s="29" t="s">
        <v>28</v>
      </c>
      <c r="F11" s="30">
        <v>43076</v>
      </c>
      <c r="G11" s="30"/>
      <c r="H11" s="1" t="s">
        <v>12</v>
      </c>
      <c r="I11" s="31" t="s">
        <v>16</v>
      </c>
      <c r="J11" s="17" t="s">
        <v>14</v>
      </c>
      <c r="K11" s="17" t="s">
        <v>36</v>
      </c>
    </row>
    <row r="12" spans="1:11" ht="12.75" x14ac:dyDescent="0.2">
      <c r="A12" s="37" t="s">
        <v>23</v>
      </c>
      <c r="B12" s="38">
        <v>43084</v>
      </c>
      <c r="C12" s="39">
        <v>3000</v>
      </c>
      <c r="D12" s="28" t="s">
        <v>11</v>
      </c>
      <c r="E12" s="29" t="s">
        <v>29</v>
      </c>
      <c r="F12" s="32">
        <v>43453</v>
      </c>
      <c r="G12" s="32">
        <v>43460</v>
      </c>
      <c r="H12" s="1" t="s">
        <v>32</v>
      </c>
      <c r="I12" s="33" t="s">
        <v>17</v>
      </c>
      <c r="J12" s="17" t="s">
        <v>14</v>
      </c>
      <c r="K12" s="17" t="s">
        <v>36</v>
      </c>
    </row>
    <row r="13" spans="1:11" ht="12.75" x14ac:dyDescent="0.2">
      <c r="A13" s="36" t="s">
        <v>24</v>
      </c>
      <c r="B13" s="25">
        <v>43088</v>
      </c>
      <c r="C13" s="35">
        <v>161.4</v>
      </c>
      <c r="D13" s="28" t="s">
        <v>11</v>
      </c>
      <c r="E13" s="29" t="s">
        <v>30</v>
      </c>
      <c r="F13" s="30">
        <v>43089</v>
      </c>
      <c r="G13" s="30">
        <v>43461</v>
      </c>
      <c r="H13" s="1" t="s">
        <v>12</v>
      </c>
      <c r="I13" s="31" t="s">
        <v>18</v>
      </c>
      <c r="J13" s="17" t="s">
        <v>14</v>
      </c>
      <c r="K13" s="17" t="s">
        <v>36</v>
      </c>
    </row>
    <row r="14" spans="1:11" ht="12.75" x14ac:dyDescent="0.2">
      <c r="A14" s="36" t="s">
        <v>25</v>
      </c>
      <c r="B14" s="25">
        <v>43096</v>
      </c>
      <c r="C14" s="35">
        <v>1719.2</v>
      </c>
      <c r="D14" s="28" t="s">
        <v>11</v>
      </c>
      <c r="E14" s="29" t="s">
        <v>31</v>
      </c>
      <c r="F14" s="30">
        <v>43103</v>
      </c>
      <c r="G14" s="30">
        <v>43109</v>
      </c>
      <c r="H14" s="1" t="s">
        <v>12</v>
      </c>
      <c r="I14" s="31" t="s">
        <v>19</v>
      </c>
      <c r="J14" s="17" t="s">
        <v>14</v>
      </c>
      <c r="K14" s="17" t="s">
        <v>36</v>
      </c>
    </row>
    <row r="15" spans="1:11" ht="12.75" x14ac:dyDescent="0.2">
      <c r="A15" s="36" t="s">
        <v>26</v>
      </c>
      <c r="B15" s="25">
        <v>43098</v>
      </c>
      <c r="C15" s="40">
        <v>4364.5</v>
      </c>
      <c r="D15" s="28" t="s">
        <v>11</v>
      </c>
      <c r="E15" s="29" t="s">
        <v>27</v>
      </c>
      <c r="F15" s="30">
        <v>43103</v>
      </c>
      <c r="G15" s="30"/>
      <c r="H15" s="1" t="s">
        <v>12</v>
      </c>
      <c r="I15" s="31" t="s">
        <v>20</v>
      </c>
      <c r="J15" s="17" t="s">
        <v>14</v>
      </c>
      <c r="K15" s="17" t="s">
        <v>36</v>
      </c>
    </row>
    <row r="16" spans="1:11" ht="12.75" x14ac:dyDescent="0.2">
      <c r="A16" s="37" t="s">
        <v>23</v>
      </c>
      <c r="B16" s="38">
        <v>43084</v>
      </c>
      <c r="C16" s="39">
        <v>3000</v>
      </c>
      <c r="D16" s="28" t="s">
        <v>11</v>
      </c>
      <c r="E16" s="29" t="s">
        <v>29</v>
      </c>
      <c r="F16" s="32">
        <v>43453</v>
      </c>
      <c r="G16" s="32">
        <v>43460</v>
      </c>
      <c r="H16" s="1" t="s">
        <v>32</v>
      </c>
      <c r="I16" s="33" t="s">
        <v>33</v>
      </c>
      <c r="J16" s="17" t="s">
        <v>14</v>
      </c>
      <c r="K16" s="17" t="s">
        <v>36</v>
      </c>
    </row>
    <row r="17" spans="1:11" ht="12.75" x14ac:dyDescent="0.2">
      <c r="A17" s="37" t="s">
        <v>23</v>
      </c>
      <c r="B17" s="38">
        <v>43084</v>
      </c>
      <c r="C17" s="39">
        <v>3000</v>
      </c>
      <c r="D17" s="28" t="s">
        <v>11</v>
      </c>
      <c r="E17" s="29" t="s">
        <v>29</v>
      </c>
      <c r="F17" s="32">
        <v>43453</v>
      </c>
      <c r="G17" s="32">
        <v>43460</v>
      </c>
      <c r="H17" s="1" t="s">
        <v>32</v>
      </c>
      <c r="I17" s="33" t="s">
        <v>34</v>
      </c>
      <c r="J17" s="17" t="s">
        <v>14</v>
      </c>
      <c r="K17" s="17" t="s">
        <v>36</v>
      </c>
    </row>
    <row r="18" spans="1:11" ht="12.75" x14ac:dyDescent="0.2">
      <c r="A18" s="9"/>
      <c r="B18" s="2"/>
      <c r="C18" s="3"/>
      <c r="D18" s="4"/>
      <c r="E18" s="5"/>
      <c r="F18" s="6"/>
      <c r="G18" s="6"/>
      <c r="H18" s="1"/>
      <c r="I18" s="7"/>
      <c r="J18" s="17" t="s">
        <v>14</v>
      </c>
      <c r="K18" s="17"/>
    </row>
    <row r="19" spans="1:11" ht="12.75" x14ac:dyDescent="0.2">
      <c r="A19" s="8"/>
      <c r="B19" s="2"/>
      <c r="C19" s="3"/>
      <c r="D19" s="4"/>
      <c r="E19" s="5"/>
      <c r="F19" s="6"/>
      <c r="G19" s="6"/>
      <c r="H19" s="1"/>
      <c r="I19" s="7"/>
      <c r="J19" s="17" t="s">
        <v>14</v>
      </c>
      <c r="K19" s="17"/>
    </row>
    <row r="20" spans="1:11" ht="12.75" x14ac:dyDescent="0.2">
      <c r="A20" s="9"/>
      <c r="B20" s="2"/>
      <c r="C20" s="3"/>
      <c r="D20" s="4"/>
      <c r="E20" s="5"/>
      <c r="F20" s="6"/>
      <c r="G20" s="6"/>
      <c r="H20" s="1"/>
      <c r="I20" s="7"/>
      <c r="J20" s="17" t="s">
        <v>14</v>
      </c>
      <c r="K20" s="17"/>
    </row>
    <row r="21" spans="1:11" ht="12.75" x14ac:dyDescent="0.2">
      <c r="A21" s="8"/>
      <c r="B21" s="2"/>
      <c r="C21" s="3"/>
      <c r="D21" s="4"/>
      <c r="E21" s="5"/>
      <c r="F21" s="10"/>
      <c r="G21" s="6"/>
      <c r="H21" s="1"/>
      <c r="I21" s="7"/>
      <c r="J21" s="17" t="s">
        <v>14</v>
      </c>
      <c r="K21" s="17"/>
    </row>
    <row r="22" spans="1:11" ht="12.75" x14ac:dyDescent="0.2">
      <c r="A22" s="9"/>
      <c r="B22" s="2"/>
      <c r="C22" s="3"/>
      <c r="D22" s="4"/>
      <c r="E22" s="5"/>
      <c r="F22" s="11"/>
      <c r="G22" s="6"/>
      <c r="H22" s="1"/>
      <c r="I22" s="7"/>
      <c r="J22" s="17" t="s">
        <v>14</v>
      </c>
      <c r="K22" s="17"/>
    </row>
    <row r="23" spans="1:11" ht="12.75" x14ac:dyDescent="0.2">
      <c r="A23" s="8"/>
      <c r="B23" s="2"/>
      <c r="C23" s="3"/>
      <c r="D23" s="4"/>
      <c r="E23" s="5"/>
      <c r="F23" s="11"/>
      <c r="G23" s="6"/>
      <c r="H23" s="1"/>
      <c r="I23" s="7"/>
      <c r="J23" s="17" t="s">
        <v>14</v>
      </c>
      <c r="K23" s="17"/>
    </row>
    <row r="24" spans="1:11" ht="12.75" x14ac:dyDescent="0.2">
      <c r="A24" s="9"/>
      <c r="B24" s="2"/>
      <c r="C24" s="3"/>
      <c r="D24" s="4"/>
      <c r="E24" s="5"/>
      <c r="F24" s="11"/>
      <c r="G24" s="6"/>
      <c r="H24" s="1"/>
      <c r="I24" s="7"/>
      <c r="J24" s="17" t="s">
        <v>14</v>
      </c>
      <c r="K24" s="17"/>
    </row>
    <row r="25" spans="1:11" ht="12.75" x14ac:dyDescent="0.2">
      <c r="A25" s="8"/>
      <c r="B25" s="2"/>
      <c r="C25" s="3"/>
      <c r="D25" s="4"/>
      <c r="E25" s="5"/>
      <c r="F25" s="11"/>
      <c r="G25" s="6"/>
      <c r="H25" s="1"/>
      <c r="I25" s="7"/>
      <c r="J25" s="17" t="s">
        <v>14</v>
      </c>
      <c r="K25" s="17"/>
    </row>
    <row r="26" spans="1:11" ht="12.75" x14ac:dyDescent="0.2">
      <c r="A26" s="9"/>
      <c r="B26" s="2"/>
      <c r="C26" s="3"/>
      <c r="D26" s="4"/>
      <c r="E26" s="5"/>
      <c r="F26" s="11"/>
      <c r="G26" s="6"/>
      <c r="H26" s="1"/>
      <c r="I26" s="7"/>
      <c r="J26" s="17" t="s">
        <v>14</v>
      </c>
      <c r="K26" s="17"/>
    </row>
    <row r="27" spans="1:11" ht="12.75" x14ac:dyDescent="0.2">
      <c r="A27" s="8"/>
      <c r="B27" s="2"/>
      <c r="C27" s="3"/>
      <c r="D27" s="4"/>
      <c r="E27" s="5"/>
      <c r="F27" s="11"/>
      <c r="G27" s="6"/>
      <c r="H27" s="1"/>
      <c r="I27" s="7"/>
      <c r="J27" s="17" t="s">
        <v>14</v>
      </c>
      <c r="K27" s="17"/>
    </row>
    <row r="28" spans="1:11" ht="12.75" x14ac:dyDescent="0.2">
      <c r="A28" s="9"/>
      <c r="B28" s="2"/>
      <c r="C28" s="3"/>
      <c r="D28" s="4"/>
      <c r="E28" s="5"/>
      <c r="F28" s="11"/>
      <c r="G28" s="6"/>
      <c r="H28" s="1"/>
      <c r="I28" s="7"/>
      <c r="J28" s="17" t="s">
        <v>14</v>
      </c>
      <c r="K28" s="17"/>
    </row>
    <row r="29" spans="1:11" ht="12.75" x14ac:dyDescent="0.2">
      <c r="A29" s="8"/>
      <c r="B29" s="2"/>
      <c r="C29" s="3"/>
      <c r="D29" s="4"/>
      <c r="E29" s="5"/>
      <c r="F29" s="11"/>
      <c r="G29" s="6"/>
      <c r="H29" s="1"/>
      <c r="I29" s="7"/>
      <c r="J29" s="17" t="s">
        <v>14</v>
      </c>
      <c r="K29" s="17"/>
    </row>
    <row r="30" spans="1:11" ht="12.75" x14ac:dyDescent="0.2">
      <c r="A30" s="9"/>
      <c r="B30" s="2"/>
      <c r="C30" s="3"/>
      <c r="D30" s="4"/>
      <c r="E30" s="5"/>
      <c r="F30" s="11"/>
      <c r="G30" s="6"/>
      <c r="H30" s="1"/>
      <c r="I30" s="7"/>
      <c r="J30" s="17" t="s">
        <v>14</v>
      </c>
      <c r="K30" s="17"/>
    </row>
    <row r="31" spans="1:11" ht="12.75" x14ac:dyDescent="0.2">
      <c r="A31" s="8"/>
      <c r="B31" s="2"/>
      <c r="C31" s="3"/>
      <c r="D31" s="4"/>
      <c r="E31" s="5"/>
      <c r="F31" s="11"/>
      <c r="G31" s="6"/>
      <c r="H31" s="1"/>
      <c r="I31" s="7"/>
      <c r="J31" s="17" t="s">
        <v>14</v>
      </c>
      <c r="K31" s="17"/>
    </row>
    <row r="32" spans="1:11" ht="12.75" x14ac:dyDescent="0.2">
      <c r="A32" s="9"/>
      <c r="B32" s="2"/>
      <c r="C32" s="3"/>
      <c r="D32" s="4"/>
      <c r="E32" s="5"/>
      <c r="F32" s="11"/>
      <c r="G32" s="6"/>
      <c r="H32" s="1"/>
      <c r="I32" s="7"/>
      <c r="J32" s="17" t="s">
        <v>14</v>
      </c>
      <c r="K32" s="17"/>
    </row>
    <row r="33" spans="1:11" ht="12.75" x14ac:dyDescent="0.2">
      <c r="A33" s="9"/>
      <c r="B33" s="2"/>
      <c r="C33" s="3"/>
      <c r="D33" s="4"/>
      <c r="E33" s="5"/>
      <c r="F33" s="11"/>
      <c r="G33" s="6"/>
      <c r="H33" s="1"/>
      <c r="I33" s="7"/>
      <c r="J33" s="17" t="s">
        <v>14</v>
      </c>
      <c r="K33" s="17"/>
    </row>
    <row r="34" spans="1:11" x14ac:dyDescent="0.2">
      <c r="J34" s="24"/>
      <c r="K34" s="24"/>
    </row>
    <row r="37" spans="1:11" x14ac:dyDescent="0.2">
      <c r="I37" s="14"/>
      <c r="J37" s="13"/>
      <c r="K37" s="13"/>
    </row>
    <row r="38" spans="1:11" x14ac:dyDescent="0.2">
      <c r="I38" s="14"/>
      <c r="J38" s="13"/>
      <c r="K38" s="13"/>
    </row>
    <row r="39" spans="1:11" x14ac:dyDescent="0.2">
      <c r="I39" s="14"/>
      <c r="J39" s="13"/>
      <c r="K39" s="13"/>
    </row>
    <row r="40" spans="1:11" x14ac:dyDescent="0.2">
      <c r="I40" s="14"/>
      <c r="J40" s="13"/>
      <c r="K40" s="13"/>
    </row>
    <row r="41" spans="1:11" x14ac:dyDescent="0.2">
      <c r="I41" s="14"/>
      <c r="J41" s="13"/>
      <c r="K41" s="13"/>
    </row>
    <row r="42" spans="1:11" x14ac:dyDescent="0.2">
      <c r="I42" s="14"/>
      <c r="J42" s="13"/>
      <c r="K42" s="13"/>
    </row>
    <row r="43" spans="1:11" x14ac:dyDescent="0.2">
      <c r="I43" s="14"/>
      <c r="J43" s="13"/>
      <c r="K43" s="13"/>
    </row>
    <row r="44" spans="1:11" x14ac:dyDescent="0.2">
      <c r="I44" s="14"/>
      <c r="J44" s="13"/>
      <c r="K44" s="13"/>
    </row>
    <row r="45" spans="1:11" x14ac:dyDescent="0.2">
      <c r="I45" s="14"/>
      <c r="J45" s="13"/>
      <c r="K45" s="13"/>
    </row>
    <row r="46" spans="1:11" x14ac:dyDescent="0.2">
      <c r="I46" s="14"/>
      <c r="J46" s="13"/>
      <c r="K46" s="13"/>
    </row>
  </sheetData>
  <phoneticPr fontId="20" type="noConversion"/>
  <conditionalFormatting sqref="J2:J8 J18:J33">
    <cfRule type="expression" dxfId="40" priority="8">
      <formula>AND(AND(ISBLANK(#REF!),AND(NOT(ISBLANK($F2)),$F2+7&lt;=TODAY())),ISBLANK($G2))</formula>
    </cfRule>
  </conditionalFormatting>
  <conditionalFormatting sqref="J9:J15">
    <cfRule type="expression" dxfId="39" priority="7">
      <formula>AND(AND(ISBLANK(#REF!),AND(NOT(ISBLANK($F9)),$F9+7&lt;=TODAY())),ISBLANK($G9))</formula>
    </cfRule>
  </conditionalFormatting>
  <conditionalFormatting sqref="J16">
    <cfRule type="expression" dxfId="38" priority="6">
      <formula>AND(AND(ISBLANK(#REF!),AND(NOT(ISBLANK($F16)),$F16+7&lt;=TODAY())),ISBLANK($G16))</formula>
    </cfRule>
  </conditionalFormatting>
  <conditionalFormatting sqref="J17">
    <cfRule type="expression" dxfId="37" priority="5">
      <formula>AND(AND(ISBLANK(#REF!),AND(NOT(ISBLANK($F17)),$F17+7&lt;=TODAY())),ISBLANK($G17))</formula>
    </cfRule>
  </conditionalFormatting>
  <conditionalFormatting sqref="K2:K33">
    <cfRule type="expression" dxfId="36" priority="4">
      <formula>AND(AND(ISBLANK(#REF!),AND(NOT(ISBLANK($F2)),$F2+7&lt;=TODAY())),ISBLANK($G2))</formula>
    </cfRule>
  </conditionalFormatting>
  <dataValidations count="2">
    <dataValidation type="list" allowBlank="1" showInputMessage="1" showErrorMessage="1" sqref="J2:J33">
      <formula1>"Y,N"</formula1>
    </dataValidation>
    <dataValidation type="list" allowBlank="1" showInputMessage="1" showErrorMessage="1" errorTitle="Request for Information (RFI)" error="Please select from drop down only" sqref="H2:H33">
      <formula1>$K$2:$K$7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0"/>
  <sheetViews>
    <sheetView workbookViewId="0">
      <selection activeCell="E33" sqref="E33"/>
    </sheetView>
  </sheetViews>
  <sheetFormatPr defaultRowHeight="15" x14ac:dyDescent="0.25"/>
  <cols>
    <col min="1" max="1" width="4.5546875" bestFit="1" customWidth="1"/>
    <col min="2" max="2" width="10.33203125" bestFit="1" customWidth="1"/>
    <col min="3" max="3" width="8" bestFit="1" customWidth="1"/>
    <col min="4" max="4" width="6.109375" bestFit="1" customWidth="1"/>
    <col min="5" max="5" width="8.44140625" bestFit="1" customWidth="1"/>
    <col min="6" max="6" width="13.109375" bestFit="1" customWidth="1"/>
    <col min="7" max="7" width="13.44140625" bestFit="1" customWidth="1"/>
    <col min="8" max="8" width="26.5546875" bestFit="1" customWidth="1"/>
    <col min="9" max="9" width="14.5546875" bestFit="1" customWidth="1"/>
    <col min="10" max="10" width="12.109375" bestFit="1" customWidth="1"/>
    <col min="11" max="11" width="11.21875" bestFit="1" customWidth="1"/>
  </cols>
  <sheetData>
    <row r="1" spans="1:11" s="16" customFormat="1" ht="12" x14ac:dyDescent="0.25">
      <c r="A1" s="18" t="s">
        <v>0</v>
      </c>
      <c r="B1" s="19" t="s">
        <v>8</v>
      </c>
      <c r="C1" s="20" t="s">
        <v>1</v>
      </c>
      <c r="D1" s="18" t="s">
        <v>2</v>
      </c>
      <c r="E1" s="18" t="s">
        <v>5</v>
      </c>
      <c r="F1" s="19" t="s">
        <v>3</v>
      </c>
      <c r="G1" s="21" t="s">
        <v>4</v>
      </c>
      <c r="H1" s="18" t="s">
        <v>6</v>
      </c>
      <c r="I1" s="22" t="s">
        <v>7</v>
      </c>
      <c r="J1" s="23" t="s">
        <v>9</v>
      </c>
      <c r="K1" s="23" t="s">
        <v>35</v>
      </c>
    </row>
    <row r="2" spans="1:11" s="13" customFormat="1" ht="12.75" x14ac:dyDescent="0.2">
      <c r="A2" s="37" t="s">
        <v>23</v>
      </c>
      <c r="B2" s="38">
        <v>43084</v>
      </c>
      <c r="C2" s="39">
        <v>3000</v>
      </c>
      <c r="D2" s="28" t="s">
        <v>11</v>
      </c>
      <c r="E2" s="29" t="s">
        <v>29</v>
      </c>
      <c r="F2" s="32">
        <v>43453</v>
      </c>
      <c r="G2" s="32">
        <v>43460</v>
      </c>
      <c r="H2" s="1" t="s">
        <v>32</v>
      </c>
      <c r="I2" s="33" t="s">
        <v>17</v>
      </c>
      <c r="J2" s="17" t="s">
        <v>14</v>
      </c>
      <c r="K2" s="17" t="s">
        <v>36</v>
      </c>
    </row>
    <row r="3" spans="1:11" s="13" customFormat="1" ht="12.75" x14ac:dyDescent="0.2">
      <c r="A3" s="37" t="s">
        <v>23</v>
      </c>
      <c r="B3" s="38">
        <v>43084</v>
      </c>
      <c r="C3" s="39">
        <v>3000</v>
      </c>
      <c r="D3" s="28" t="s">
        <v>11</v>
      </c>
      <c r="E3" s="29" t="s">
        <v>29</v>
      </c>
      <c r="F3" s="32">
        <v>43453</v>
      </c>
      <c r="G3" s="32">
        <v>43460</v>
      </c>
      <c r="H3" s="1" t="s">
        <v>32</v>
      </c>
      <c r="I3" s="33" t="s">
        <v>33</v>
      </c>
      <c r="J3" s="17" t="s">
        <v>14</v>
      </c>
      <c r="K3" s="17" t="s">
        <v>36</v>
      </c>
    </row>
    <row r="4" spans="1:11" s="13" customFormat="1" ht="12.75" x14ac:dyDescent="0.2">
      <c r="A4" s="37" t="s">
        <v>23</v>
      </c>
      <c r="B4" s="38">
        <v>43084</v>
      </c>
      <c r="C4" s="39">
        <v>3000</v>
      </c>
      <c r="D4" s="28" t="s">
        <v>11</v>
      </c>
      <c r="E4" s="29" t="s">
        <v>29</v>
      </c>
      <c r="F4" s="32">
        <v>43453</v>
      </c>
      <c r="G4" s="32">
        <v>43460</v>
      </c>
      <c r="H4" s="1" t="s">
        <v>32</v>
      </c>
      <c r="I4" s="33" t="s">
        <v>34</v>
      </c>
      <c r="J4" s="17" t="s">
        <v>14</v>
      </c>
      <c r="K4" s="17" t="s">
        <v>36</v>
      </c>
    </row>
    <row r="5" spans="1:11" s="13" customFormat="1" ht="12.75" x14ac:dyDescent="0.2">
      <c r="A5" s="37" t="s">
        <v>23</v>
      </c>
      <c r="B5" s="38">
        <v>43084</v>
      </c>
      <c r="C5" s="39">
        <v>3000</v>
      </c>
      <c r="D5" s="28" t="s">
        <v>11</v>
      </c>
      <c r="E5" s="29" t="s">
        <v>29</v>
      </c>
      <c r="F5" s="32">
        <v>43453</v>
      </c>
      <c r="G5" s="32">
        <v>43460</v>
      </c>
      <c r="H5" s="1" t="s">
        <v>32</v>
      </c>
      <c r="I5" s="33" t="s">
        <v>17</v>
      </c>
      <c r="J5" s="17" t="s">
        <v>14</v>
      </c>
      <c r="K5" s="17" t="s">
        <v>36</v>
      </c>
    </row>
    <row r="6" spans="1:11" s="13" customFormat="1" ht="12.75" x14ac:dyDescent="0.2">
      <c r="A6" s="37" t="s">
        <v>23</v>
      </c>
      <c r="B6" s="38">
        <v>43084</v>
      </c>
      <c r="C6" s="39">
        <v>3000</v>
      </c>
      <c r="D6" s="28" t="s">
        <v>11</v>
      </c>
      <c r="E6" s="29" t="s">
        <v>29</v>
      </c>
      <c r="F6" s="32">
        <v>43453</v>
      </c>
      <c r="G6" s="32">
        <v>43460</v>
      </c>
      <c r="H6" s="1" t="s">
        <v>32</v>
      </c>
      <c r="I6" s="33" t="s">
        <v>33</v>
      </c>
      <c r="J6" s="17" t="s">
        <v>14</v>
      </c>
      <c r="K6" s="17" t="s">
        <v>36</v>
      </c>
    </row>
    <row r="7" spans="1:11" s="13" customFormat="1" ht="12.75" x14ac:dyDescent="0.2">
      <c r="A7" s="37" t="s">
        <v>23</v>
      </c>
      <c r="B7" s="38">
        <v>43084</v>
      </c>
      <c r="C7" s="39">
        <v>3000</v>
      </c>
      <c r="D7" s="28" t="s">
        <v>11</v>
      </c>
      <c r="E7" s="29" t="s">
        <v>29</v>
      </c>
      <c r="F7" s="32">
        <v>43453</v>
      </c>
      <c r="G7" s="32">
        <v>43460</v>
      </c>
      <c r="H7" s="1" t="s">
        <v>32</v>
      </c>
      <c r="I7" s="33" t="s">
        <v>34</v>
      </c>
      <c r="J7" s="17" t="s">
        <v>14</v>
      </c>
      <c r="K7" s="17" t="s">
        <v>36</v>
      </c>
    </row>
    <row r="8" spans="1:11" s="13" customFormat="1" ht="12.75" x14ac:dyDescent="0.2">
      <c r="A8" s="37" t="s">
        <v>23</v>
      </c>
      <c r="B8" s="38">
        <v>43084</v>
      </c>
      <c r="C8" s="39">
        <v>3000</v>
      </c>
      <c r="D8" s="28" t="s">
        <v>11</v>
      </c>
      <c r="E8" s="29" t="s">
        <v>29</v>
      </c>
      <c r="F8" s="32">
        <v>43453</v>
      </c>
      <c r="G8" s="32">
        <v>43460</v>
      </c>
      <c r="H8" s="1" t="s">
        <v>32</v>
      </c>
      <c r="I8" s="33" t="s">
        <v>17</v>
      </c>
      <c r="J8" s="17" t="s">
        <v>14</v>
      </c>
      <c r="K8" s="17" t="s">
        <v>36</v>
      </c>
    </row>
    <row r="9" spans="1:11" s="13" customFormat="1" ht="12.75" x14ac:dyDescent="0.2">
      <c r="A9" s="37" t="s">
        <v>23</v>
      </c>
      <c r="B9" s="38">
        <v>43084</v>
      </c>
      <c r="C9" s="39">
        <v>3000</v>
      </c>
      <c r="D9" s="28" t="s">
        <v>11</v>
      </c>
      <c r="E9" s="29" t="s">
        <v>29</v>
      </c>
      <c r="F9" s="32">
        <v>43453</v>
      </c>
      <c r="G9" s="32">
        <v>43460</v>
      </c>
      <c r="H9" s="1" t="s">
        <v>32</v>
      </c>
      <c r="I9" s="33" t="s">
        <v>33</v>
      </c>
      <c r="J9" s="17" t="s">
        <v>14</v>
      </c>
      <c r="K9" s="17" t="s">
        <v>36</v>
      </c>
    </row>
    <row r="10" spans="1:11" s="13" customFormat="1" ht="12.75" x14ac:dyDescent="0.2">
      <c r="A10" s="37" t="s">
        <v>23</v>
      </c>
      <c r="B10" s="38">
        <v>43084</v>
      </c>
      <c r="C10" s="39">
        <v>3000</v>
      </c>
      <c r="D10" s="28" t="s">
        <v>11</v>
      </c>
      <c r="E10" s="29" t="s">
        <v>29</v>
      </c>
      <c r="F10" s="32">
        <v>43453</v>
      </c>
      <c r="G10" s="32">
        <v>43460</v>
      </c>
      <c r="H10" s="1" t="s">
        <v>32</v>
      </c>
      <c r="I10" s="33" t="s">
        <v>34</v>
      </c>
      <c r="J10" s="17" t="s">
        <v>14</v>
      </c>
      <c r="K10" s="17" t="s">
        <v>36</v>
      </c>
    </row>
  </sheetData>
  <phoneticPr fontId="20" type="noConversion"/>
  <conditionalFormatting sqref="J2">
    <cfRule type="expression" dxfId="35" priority="20">
      <formula>AND(AND(ISBLANK(#REF!),AND(NOT(ISBLANK($F2)),$F2+7&lt;=TODAY())),ISBLANK($G2))</formula>
    </cfRule>
  </conditionalFormatting>
  <conditionalFormatting sqref="K2">
    <cfRule type="expression" dxfId="34" priority="19">
      <formula>AND(AND(ISBLANK(#REF!),AND(NOT(ISBLANK($F2)),$F2+7&lt;=TODAY())),ISBLANK($G2))</formula>
    </cfRule>
  </conditionalFormatting>
  <conditionalFormatting sqref="J8">
    <cfRule type="expression" dxfId="33" priority="6">
      <formula>AND(AND(ISBLANK(#REF!),AND(NOT(ISBLANK($F8)),$F8+7&lt;=TODAY())),ISBLANK($G8))</formula>
    </cfRule>
  </conditionalFormatting>
  <conditionalFormatting sqref="K8">
    <cfRule type="expression" dxfId="32" priority="5">
      <formula>AND(AND(ISBLANK(#REF!),AND(NOT(ISBLANK($F8)),$F8+7&lt;=TODAY())),ISBLANK($G8))</formula>
    </cfRule>
  </conditionalFormatting>
  <conditionalFormatting sqref="J3">
    <cfRule type="expression" dxfId="31" priority="16">
      <formula>AND(AND(ISBLANK(#REF!),AND(NOT(ISBLANK($F3)),$F3+7&lt;=TODAY())),ISBLANK($G3))</formula>
    </cfRule>
  </conditionalFormatting>
  <conditionalFormatting sqref="K3">
    <cfRule type="expression" dxfId="30" priority="15">
      <formula>AND(AND(ISBLANK(#REF!),AND(NOT(ISBLANK($F3)),$F3+7&lt;=TODAY())),ISBLANK($G3))</formula>
    </cfRule>
  </conditionalFormatting>
  <conditionalFormatting sqref="J4">
    <cfRule type="expression" dxfId="29" priority="14">
      <formula>AND(AND(ISBLANK(#REF!),AND(NOT(ISBLANK($F4)),$F4+7&lt;=TODAY())),ISBLANK($G4))</formula>
    </cfRule>
  </conditionalFormatting>
  <conditionalFormatting sqref="K4">
    <cfRule type="expression" dxfId="28" priority="13">
      <formula>AND(AND(ISBLANK(#REF!),AND(NOT(ISBLANK($F4)),$F4+7&lt;=TODAY())),ISBLANK($G4))</formula>
    </cfRule>
  </conditionalFormatting>
  <conditionalFormatting sqref="J5">
    <cfRule type="expression" dxfId="27" priority="12">
      <formula>AND(AND(ISBLANK(#REF!),AND(NOT(ISBLANK($F5)),$F5+7&lt;=TODAY())),ISBLANK($G5))</formula>
    </cfRule>
  </conditionalFormatting>
  <conditionalFormatting sqref="K5">
    <cfRule type="expression" dxfId="26" priority="11">
      <formula>AND(AND(ISBLANK(#REF!),AND(NOT(ISBLANK($F5)),$F5+7&lt;=TODAY())),ISBLANK($G5))</formula>
    </cfRule>
  </conditionalFormatting>
  <conditionalFormatting sqref="J6">
    <cfRule type="expression" dxfId="25" priority="10">
      <formula>AND(AND(ISBLANK(#REF!),AND(NOT(ISBLANK($F6)),$F6+7&lt;=TODAY())),ISBLANK($G6))</formula>
    </cfRule>
  </conditionalFormatting>
  <conditionalFormatting sqref="K6">
    <cfRule type="expression" dxfId="24" priority="9">
      <formula>AND(AND(ISBLANK(#REF!),AND(NOT(ISBLANK($F6)),$F6+7&lt;=TODAY())),ISBLANK($G6))</formula>
    </cfRule>
  </conditionalFormatting>
  <conditionalFormatting sqref="J7">
    <cfRule type="expression" dxfId="23" priority="8">
      <formula>AND(AND(ISBLANK(#REF!),AND(NOT(ISBLANK($F7)),$F7+7&lt;=TODAY())),ISBLANK($G7))</formula>
    </cfRule>
  </conditionalFormatting>
  <conditionalFormatting sqref="K7">
    <cfRule type="expression" dxfId="22" priority="7">
      <formula>AND(AND(ISBLANK(#REF!),AND(NOT(ISBLANK($F7)),$F7+7&lt;=TODAY())),ISBLANK($G7))</formula>
    </cfRule>
  </conditionalFormatting>
  <conditionalFormatting sqref="J9">
    <cfRule type="expression" dxfId="21" priority="4">
      <formula>AND(AND(ISBLANK(#REF!),AND(NOT(ISBLANK($F9)),$F9+7&lt;=TODAY())),ISBLANK($G9))</formula>
    </cfRule>
  </conditionalFormatting>
  <conditionalFormatting sqref="K9">
    <cfRule type="expression" dxfId="20" priority="3">
      <formula>AND(AND(ISBLANK(#REF!),AND(NOT(ISBLANK($F9)),$F9+7&lt;=TODAY())),ISBLANK($G9))</formula>
    </cfRule>
  </conditionalFormatting>
  <conditionalFormatting sqref="J10">
    <cfRule type="expression" dxfId="19" priority="2">
      <formula>AND(AND(ISBLANK(#REF!),AND(NOT(ISBLANK($F10)),$F10+7&lt;=TODAY())),ISBLANK($G10))</formula>
    </cfRule>
  </conditionalFormatting>
  <conditionalFormatting sqref="K10">
    <cfRule type="expression" dxfId="18" priority="1">
      <formula>AND(AND(ISBLANK(#REF!),AND(NOT(ISBLANK($F10)),$F10+7&lt;=TODAY())),ISBLANK($G10))</formula>
    </cfRule>
  </conditionalFormatting>
  <dataValidations count="2">
    <dataValidation type="list" allowBlank="1" showInputMessage="1" showErrorMessage="1" errorTitle="Request for Information (RFI)" error="Please select from drop down only" sqref="H2:H10">
      <formula1>$K$2:$K$6</formula1>
    </dataValidation>
    <dataValidation type="list" allowBlank="1" showInputMessage="1" showErrorMessage="1" sqref="J2:J10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C3"/>
  <sheetViews>
    <sheetView tabSelected="1" workbookViewId="0">
      <selection activeCell="D10" sqref="D10"/>
    </sheetView>
  </sheetViews>
  <sheetFormatPr defaultRowHeight="15" x14ac:dyDescent="0.25"/>
  <cols>
    <col min="3" max="3" width="11" bestFit="1" customWidth="1"/>
  </cols>
  <sheetData>
    <row r="3" spans="3:3" x14ac:dyDescent="0.25">
      <c r="C3" s="41">
        <v>43100</v>
      </c>
    </row>
  </sheetData>
  <phoneticPr fontId="20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2:M10"/>
  <sheetViews>
    <sheetView workbookViewId="0"/>
  </sheetViews>
  <sheetFormatPr defaultRowHeight="15" x14ac:dyDescent="0.25"/>
  <sheetData>
    <row r="2" spans="1:13" s="13" customFormat="1" ht="12.75" x14ac:dyDescent="0.2">
      <c r="A2" s="37" t="s">
        <v>23</v>
      </c>
      <c r="B2" s="38">
        <v>43084</v>
      </c>
      <c r="C2" s="39">
        <v>3000</v>
      </c>
      <c r="D2" s="28" t="s">
        <v>11</v>
      </c>
      <c r="E2" s="29" t="s">
        <v>29</v>
      </c>
      <c r="F2" s="32">
        <v>43453</v>
      </c>
      <c r="G2" s="32">
        <v>43460</v>
      </c>
      <c r="H2" s="1" t="s">
        <v>32</v>
      </c>
      <c r="I2" s="33" t="s">
        <v>17</v>
      </c>
      <c r="J2" s="17" t="s">
        <v>14</v>
      </c>
      <c r="K2" s="17" t="s">
        <v>36</v>
      </c>
      <c r="L2" s="13">
        <v>1</v>
      </c>
    </row>
    <row r="3" spans="1:13" s="13" customFormat="1" ht="12.75" x14ac:dyDescent="0.2">
      <c r="A3" s="37" t="s">
        <v>23</v>
      </c>
      <c r="B3" s="38">
        <v>43084</v>
      </c>
      <c r="C3" s="39">
        <v>3000</v>
      </c>
      <c r="D3" s="28" t="s">
        <v>11</v>
      </c>
      <c r="E3" s="29" t="s">
        <v>29</v>
      </c>
      <c r="F3" s="32">
        <v>43453</v>
      </c>
      <c r="G3" s="32">
        <v>43460</v>
      </c>
      <c r="H3" s="1" t="s">
        <v>32</v>
      </c>
      <c r="I3" s="33" t="s">
        <v>33</v>
      </c>
      <c r="J3" s="17" t="s">
        <v>14</v>
      </c>
      <c r="K3" s="17" t="s">
        <v>36</v>
      </c>
      <c r="L3" s="13">
        <v>2</v>
      </c>
    </row>
    <row r="4" spans="1:13" s="13" customFormat="1" ht="12.75" x14ac:dyDescent="0.2">
      <c r="A4" s="37" t="s">
        <v>23</v>
      </c>
      <c r="B4" s="38">
        <v>43084</v>
      </c>
      <c r="C4" s="39">
        <v>3000</v>
      </c>
      <c r="D4" s="28" t="s">
        <v>11</v>
      </c>
      <c r="E4" s="29" t="s">
        <v>29</v>
      </c>
      <c r="F4" s="32">
        <v>43453</v>
      </c>
      <c r="G4" s="32">
        <v>43460</v>
      </c>
      <c r="H4" s="1" t="s">
        <v>32</v>
      </c>
      <c r="I4" s="33" t="s">
        <v>34</v>
      </c>
      <c r="J4" s="17" t="s">
        <v>14</v>
      </c>
      <c r="K4" s="17" t="s">
        <v>36</v>
      </c>
      <c r="L4" s="13">
        <v>3</v>
      </c>
    </row>
    <row r="5" spans="1:13" s="13" customFormat="1" ht="12.75" x14ac:dyDescent="0.2">
      <c r="A5" s="37" t="s">
        <v>23</v>
      </c>
      <c r="B5" s="38">
        <v>43084</v>
      </c>
      <c r="C5" s="39">
        <v>3000</v>
      </c>
      <c r="D5" s="28" t="s">
        <v>11</v>
      </c>
      <c r="E5" s="29" t="s">
        <v>29</v>
      </c>
      <c r="F5" s="32">
        <v>43453</v>
      </c>
      <c r="G5" s="32">
        <v>43460</v>
      </c>
      <c r="H5" s="1" t="s">
        <v>32</v>
      </c>
      <c r="I5" s="33" t="s">
        <v>17</v>
      </c>
      <c r="J5" s="17" t="s">
        <v>14</v>
      </c>
      <c r="K5" s="17" t="s">
        <v>36</v>
      </c>
      <c r="L5" s="13">
        <v>4</v>
      </c>
    </row>
    <row r="6" spans="1:13" s="13" customFormat="1" ht="12.75" x14ac:dyDescent="0.2">
      <c r="A6" s="37" t="s">
        <v>23</v>
      </c>
      <c r="B6" s="38">
        <v>43084</v>
      </c>
      <c r="C6" s="39">
        <v>3000</v>
      </c>
      <c r="D6" s="28" t="s">
        <v>11</v>
      </c>
      <c r="E6" s="29" t="s">
        <v>29</v>
      </c>
      <c r="F6" s="32">
        <v>43453</v>
      </c>
      <c r="G6" s="32">
        <v>43460</v>
      </c>
      <c r="H6" s="1" t="s">
        <v>32</v>
      </c>
      <c r="I6" s="33" t="s">
        <v>33</v>
      </c>
      <c r="J6" s="17" t="s">
        <v>14</v>
      </c>
      <c r="K6" s="17" t="s">
        <v>36</v>
      </c>
      <c r="L6" s="13">
        <v>5</v>
      </c>
    </row>
    <row r="7" spans="1:13" s="13" customFormat="1" ht="12.75" x14ac:dyDescent="0.2">
      <c r="A7" s="37" t="s">
        <v>23</v>
      </c>
      <c r="B7" s="38">
        <v>43084</v>
      </c>
      <c r="C7" s="39">
        <v>3000</v>
      </c>
      <c r="D7" s="28" t="s">
        <v>11</v>
      </c>
      <c r="E7" s="29" t="s">
        <v>29</v>
      </c>
      <c r="F7" s="32">
        <v>43453</v>
      </c>
      <c r="G7" s="32">
        <v>43460</v>
      </c>
      <c r="H7" s="1" t="s">
        <v>32</v>
      </c>
      <c r="I7" s="33" t="s">
        <v>34</v>
      </c>
      <c r="J7" s="17" t="s">
        <v>14</v>
      </c>
      <c r="K7" s="17" t="s">
        <v>36</v>
      </c>
      <c r="L7" s="13">
        <v>6</v>
      </c>
      <c r="M7" s="13">
        <v>201712</v>
      </c>
    </row>
    <row r="8" spans="1:13" s="13" customFormat="1" ht="12.75" x14ac:dyDescent="0.2">
      <c r="A8" s="37" t="s">
        <v>23</v>
      </c>
      <c r="B8" s="38">
        <v>43084</v>
      </c>
      <c r="C8" s="39">
        <v>3000</v>
      </c>
      <c r="D8" s="28" t="s">
        <v>11</v>
      </c>
      <c r="E8" s="29" t="s">
        <v>29</v>
      </c>
      <c r="F8" s="32">
        <v>43453</v>
      </c>
      <c r="G8" s="32">
        <v>43460</v>
      </c>
      <c r="H8" s="1" t="s">
        <v>32</v>
      </c>
      <c r="I8" s="33" t="s">
        <v>17</v>
      </c>
      <c r="J8" s="17" t="s">
        <v>14</v>
      </c>
      <c r="K8" s="17" t="s">
        <v>36</v>
      </c>
      <c r="L8" s="13">
        <v>7</v>
      </c>
      <c r="M8" s="13">
        <v>201712</v>
      </c>
    </row>
    <row r="9" spans="1:13" s="13" customFormat="1" ht="12.75" x14ac:dyDescent="0.2">
      <c r="A9" s="37" t="s">
        <v>23</v>
      </c>
      <c r="B9" s="38">
        <v>43084</v>
      </c>
      <c r="C9" s="39">
        <v>3000</v>
      </c>
      <c r="D9" s="28" t="s">
        <v>11</v>
      </c>
      <c r="E9" s="29" t="s">
        <v>29</v>
      </c>
      <c r="F9" s="32">
        <v>43453</v>
      </c>
      <c r="G9" s="32">
        <v>43460</v>
      </c>
      <c r="H9" s="1" t="s">
        <v>32</v>
      </c>
      <c r="I9" s="33" t="s">
        <v>33</v>
      </c>
      <c r="J9" s="17" t="s">
        <v>14</v>
      </c>
      <c r="K9" s="17" t="s">
        <v>36</v>
      </c>
      <c r="L9" s="13">
        <v>8</v>
      </c>
      <c r="M9" s="13">
        <v>201712</v>
      </c>
    </row>
    <row r="10" spans="1:13" s="13" customFormat="1" ht="12.75" x14ac:dyDescent="0.2">
      <c r="A10" s="37" t="s">
        <v>23</v>
      </c>
      <c r="B10" s="38">
        <v>43084</v>
      </c>
      <c r="C10" s="39">
        <v>3000</v>
      </c>
      <c r="D10" s="28" t="s">
        <v>11</v>
      </c>
      <c r="E10" s="29" t="s">
        <v>29</v>
      </c>
      <c r="F10" s="32">
        <v>43453</v>
      </c>
      <c r="G10" s="32">
        <v>43460</v>
      </c>
      <c r="H10" s="1" t="s">
        <v>32</v>
      </c>
      <c r="I10" s="33" t="s">
        <v>34</v>
      </c>
      <c r="J10" s="17" t="s">
        <v>14</v>
      </c>
      <c r="K10" s="17" t="s">
        <v>36</v>
      </c>
      <c r="L10" s="13">
        <v>9</v>
      </c>
      <c r="M10" s="13">
        <v>201712</v>
      </c>
    </row>
  </sheetData>
  <phoneticPr fontId="20" type="noConversion"/>
  <conditionalFormatting sqref="J2">
    <cfRule type="expression" dxfId="17" priority="18">
      <formula>AND(AND(ISBLANK(#REF!),AND(NOT(ISBLANK($F2)),$F2+7&lt;=TODAY())),ISBLANK($G2))</formula>
    </cfRule>
  </conditionalFormatting>
  <conditionalFormatting sqref="K2">
    <cfRule type="expression" dxfId="16" priority="17">
      <formula>AND(AND(ISBLANK(#REF!),AND(NOT(ISBLANK($F2)),$F2+7&lt;=TODAY())),ISBLANK($G2))</formula>
    </cfRule>
  </conditionalFormatting>
  <conditionalFormatting sqref="J3">
    <cfRule type="expression" dxfId="15" priority="16">
      <formula>AND(AND(ISBLANK(#REF!),AND(NOT(ISBLANK($F3)),$F3+7&lt;=TODAY())),ISBLANK($G3))</formula>
    </cfRule>
  </conditionalFormatting>
  <conditionalFormatting sqref="K3">
    <cfRule type="expression" dxfId="14" priority="15">
      <formula>AND(AND(ISBLANK(#REF!),AND(NOT(ISBLANK($F3)),$F3+7&lt;=TODAY())),ISBLANK($G3))</formula>
    </cfRule>
  </conditionalFormatting>
  <conditionalFormatting sqref="J4">
    <cfRule type="expression" dxfId="13" priority="14">
      <formula>AND(AND(ISBLANK(#REF!),AND(NOT(ISBLANK($F4)),$F4+7&lt;=TODAY())),ISBLANK($G4))</formula>
    </cfRule>
  </conditionalFormatting>
  <conditionalFormatting sqref="K4">
    <cfRule type="expression" dxfId="12" priority="13">
      <formula>AND(AND(ISBLANK(#REF!),AND(NOT(ISBLANK($F4)),$F4+7&lt;=TODAY())),ISBLANK($G4))</formula>
    </cfRule>
  </conditionalFormatting>
  <conditionalFormatting sqref="J5">
    <cfRule type="expression" dxfId="11" priority="12">
      <formula>AND(AND(ISBLANK(#REF!),AND(NOT(ISBLANK($F5)),$F5+7&lt;=TODAY())),ISBLANK($G5))</formula>
    </cfRule>
  </conditionalFormatting>
  <conditionalFormatting sqref="K5">
    <cfRule type="expression" dxfId="10" priority="11">
      <formula>AND(AND(ISBLANK(#REF!),AND(NOT(ISBLANK($F5)),$F5+7&lt;=TODAY())),ISBLANK($G5))</formula>
    </cfRule>
  </conditionalFormatting>
  <conditionalFormatting sqref="J6">
    <cfRule type="expression" dxfId="9" priority="10">
      <formula>AND(AND(ISBLANK(#REF!),AND(NOT(ISBLANK($F6)),$F6+7&lt;=TODAY())),ISBLANK($G6))</formula>
    </cfRule>
  </conditionalFormatting>
  <conditionalFormatting sqref="K6">
    <cfRule type="expression" dxfId="8" priority="9">
      <formula>AND(AND(ISBLANK(#REF!),AND(NOT(ISBLANK($F6)),$F6+7&lt;=TODAY())),ISBLANK($G6))</formula>
    </cfRule>
  </conditionalFormatting>
  <conditionalFormatting sqref="J7">
    <cfRule type="expression" dxfId="7" priority="8">
      <formula>AND(AND(ISBLANK(#REF!),AND(NOT(ISBLANK($F7)),$F7+7&lt;=TODAY())),ISBLANK($G7))</formula>
    </cfRule>
  </conditionalFormatting>
  <conditionalFormatting sqref="K7">
    <cfRule type="expression" dxfId="6" priority="7">
      <formula>AND(AND(ISBLANK(#REF!),AND(NOT(ISBLANK($F7)),$F7+7&lt;=TODAY())),ISBLANK($G7))</formula>
    </cfRule>
  </conditionalFormatting>
  <conditionalFormatting sqref="J8">
    <cfRule type="expression" dxfId="5" priority="6">
      <formula>AND(AND(ISBLANK(#REF!),AND(NOT(ISBLANK($F8)),$F8+7&lt;=TODAY())),ISBLANK($G8))</formula>
    </cfRule>
  </conditionalFormatting>
  <conditionalFormatting sqref="K8">
    <cfRule type="expression" dxfId="4" priority="5">
      <formula>AND(AND(ISBLANK(#REF!),AND(NOT(ISBLANK($F8)),$F8+7&lt;=TODAY())),ISBLANK($G8))</formula>
    </cfRule>
  </conditionalFormatting>
  <conditionalFormatting sqref="J9">
    <cfRule type="expression" dxfId="3" priority="4">
      <formula>AND(AND(ISBLANK(#REF!),AND(NOT(ISBLANK($F9)),$F9+7&lt;=TODAY())),ISBLANK($G9))</formula>
    </cfRule>
  </conditionalFormatting>
  <conditionalFormatting sqref="K9">
    <cfRule type="expression" dxfId="2" priority="3">
      <formula>AND(AND(ISBLANK(#REF!),AND(NOT(ISBLANK($F9)),$F9+7&lt;=TODAY())),ISBLANK($G9))</formula>
    </cfRule>
  </conditionalFormatting>
  <conditionalFormatting sqref="J10">
    <cfRule type="expression" dxfId="1" priority="2">
      <formula>AND(AND(ISBLANK(#REF!),AND(NOT(ISBLANK($F10)),$F10+7&lt;=TODAY())),ISBLANK($G10))</formula>
    </cfRule>
  </conditionalFormatting>
  <conditionalFormatting sqref="K10">
    <cfRule type="expression" dxfId="0" priority="1">
      <formula>AND(AND(ISBLANK(#REF!),AND(NOT(ISBLANK($F10)),$F10+7&lt;=TODAY())),ISBLANK($G10))</formula>
    </cfRule>
  </conditionalFormatting>
  <dataValidations count="2">
    <dataValidation type="list" allowBlank="1" showInputMessage="1" showErrorMessage="1" sqref="J2:J10">
      <formula1>"Y,N"</formula1>
    </dataValidation>
    <dataValidation type="list" allowBlank="1" showInputMessage="1" showErrorMessage="1" errorTitle="Request for Information (RFI)" error="Please select from drop down only" sqref="H2:H10">
      <formula1>$K$2:$K$6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C5"/>
  <sheetViews>
    <sheetView workbookViewId="0"/>
  </sheetViews>
  <sheetFormatPr defaultRowHeight="15" x14ac:dyDescent="0.25"/>
  <sheetData>
    <row r="1" spans="1:3" x14ac:dyDescent="0.25">
      <c r="A1" t="s">
        <v>37</v>
      </c>
      <c r="B1" t="s">
        <v>38</v>
      </c>
      <c r="C1" t="s">
        <v>39</v>
      </c>
    </row>
    <row r="2" spans="1:3" x14ac:dyDescent="0.25">
      <c r="A2" t="s">
        <v>40</v>
      </c>
      <c r="C2">
        <v>201712</v>
      </c>
    </row>
    <row r="3" spans="1:3" x14ac:dyDescent="0.25">
      <c r="A3" t="s">
        <v>40</v>
      </c>
      <c r="C3">
        <v>201712</v>
      </c>
    </row>
    <row r="4" spans="1:3" x14ac:dyDescent="0.25">
      <c r="A4" t="s">
        <v>40</v>
      </c>
      <c r="C4">
        <v>201712</v>
      </c>
    </row>
    <row r="5" spans="1:3" x14ac:dyDescent="0.25">
      <c r="A5" t="s">
        <v>40</v>
      </c>
      <c r="C5">
        <v>201712</v>
      </c>
    </row>
  </sheetData>
  <phoneticPr fontId="2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當月交易</vt:lpstr>
      <vt:lpstr>歷史交易</vt:lpstr>
      <vt:lpstr>Main Page</vt:lpstr>
      <vt:lpstr>Tempo</vt:lpstr>
      <vt:lpstr>201712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1487651</dc:creator>
  <cp:lastModifiedBy>1567524</cp:lastModifiedBy>
  <dcterms:created xsi:type="dcterms:W3CDTF">2014-07-03T18:35:52Z</dcterms:created>
  <dcterms:modified xsi:type="dcterms:W3CDTF">2018-02-23T10:46:34Z</dcterms:modified>
</cp:coreProperties>
</file>